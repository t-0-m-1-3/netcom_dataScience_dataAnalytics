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Tom\Desktop\"/>
    </mc:Choice>
  </mc:AlternateContent>
  <bookViews>
    <workbookView minimized="1" xWindow="0" yWindow="0" windowWidth="21600" windowHeight="9732" firstSheet="1" activeTab="1"/>
  </bookViews>
  <sheets>
    <sheet name="Inputs" sheetId="1" r:id="rId1"/>
    <sheet name="Calculation" sheetId="2" r:id="rId2"/>
  </sheets>
  <definedNames>
    <definedName name="RiskFreeReturn">Inputs!$D$2:$D$11</definedName>
    <definedName name="Stock1Return">Inputs!$B$2:$B$11</definedName>
    <definedName name="Stock2Return">Inputs!$C$2:$C$11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1" l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B4" i="1"/>
  <c r="D3" i="1"/>
  <c r="C3" i="1"/>
  <c r="D2" i="1"/>
  <c r="C2" i="1"/>
  <c r="B2" i="1"/>
  <c r="B3" i="1"/>
  <c r="K13" i="2"/>
  <c r="C20" i="2" l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B20" i="2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C19" i="2"/>
  <c r="B19" i="2"/>
  <c r="K19" i="2"/>
  <c r="K18" i="2"/>
  <c r="K17" i="2"/>
  <c r="L15" i="2"/>
  <c r="M15" i="2"/>
  <c r="K15" i="2"/>
  <c r="L13" i="2"/>
  <c r="M13" i="2"/>
  <c r="L1" i="2"/>
  <c r="M1" i="2"/>
  <c r="K1" i="2"/>
  <c r="I1" i="2"/>
  <c r="J1" i="2"/>
  <c r="H1" i="2"/>
  <c r="F1" i="2"/>
  <c r="G1" i="2"/>
  <c r="E1" i="2"/>
  <c r="C3" i="2"/>
  <c r="B3" i="2" l="1"/>
  <c r="D3" i="2"/>
  <c r="B4" i="2"/>
  <c r="D4" i="2"/>
  <c r="B5" i="2"/>
  <c r="C5" i="2"/>
  <c r="D5" i="2"/>
  <c r="B6" i="2"/>
  <c r="C6" i="2"/>
  <c r="D6" i="2"/>
  <c r="B7" i="2"/>
  <c r="C7" i="2"/>
  <c r="D7" i="2"/>
  <c r="B8" i="2"/>
  <c r="C8" i="2"/>
  <c r="D8" i="2"/>
  <c r="B9" i="2"/>
  <c r="C9" i="2"/>
  <c r="D9" i="2"/>
  <c r="B10" i="2"/>
  <c r="C10" i="2"/>
  <c r="D10" i="2"/>
  <c r="B11" i="2"/>
  <c r="C11" i="2"/>
  <c r="D11" i="2"/>
  <c r="C2" i="2"/>
  <c r="F3" i="2" s="1"/>
  <c r="D2" i="2"/>
  <c r="B2" i="2"/>
  <c r="A4" i="1"/>
  <c r="A5" i="1"/>
  <c r="A6" i="1" s="1"/>
  <c r="A7" i="1" s="1"/>
  <c r="A8" i="1" s="1"/>
  <c r="A9" i="1" s="1"/>
  <c r="A10" i="1" s="1"/>
  <c r="A11" i="1" s="1"/>
  <c r="A3" i="1"/>
  <c r="E3" i="2" l="1"/>
  <c r="G10" i="2"/>
  <c r="G6" i="2"/>
  <c r="G11" i="2"/>
  <c r="G7" i="2"/>
  <c r="G8" i="2"/>
  <c r="G4" i="2"/>
  <c r="G3" i="2"/>
  <c r="G9" i="2"/>
  <c r="G5" i="2"/>
  <c r="C4" i="2"/>
  <c r="F4" i="2" s="1"/>
  <c r="F11" i="2"/>
  <c r="F7" i="2"/>
  <c r="F8" i="2"/>
  <c r="F9" i="2"/>
  <c r="F10" i="2"/>
  <c r="E9" i="2"/>
  <c r="F6" i="2"/>
  <c r="E5" i="2"/>
  <c r="E10" i="2"/>
  <c r="E7" i="2"/>
  <c r="E6" i="2"/>
  <c r="E11" i="2"/>
  <c r="E8" i="2"/>
  <c r="E4" i="2"/>
  <c r="F5" i="2" l="1"/>
  <c r="L19" i="2" s="1"/>
  <c r="D24" i="2"/>
  <c r="D23" i="2"/>
  <c r="H3" i="2"/>
  <c r="K3" i="2" s="1"/>
  <c r="D29" i="2"/>
  <c r="D21" i="2"/>
  <c r="L18" i="2"/>
  <c r="D25" i="2"/>
  <c r="D26" i="2"/>
  <c r="D18" i="2"/>
  <c r="H4" i="2"/>
  <c r="H5" i="2"/>
  <c r="D22" i="2"/>
  <c r="D28" i="2"/>
  <c r="D27" i="2"/>
  <c r="H8" i="2"/>
  <c r="K8" i="2" s="1"/>
  <c r="H7" i="2"/>
  <c r="D30" i="2"/>
  <c r="D20" i="2"/>
  <c r="D19" i="2"/>
  <c r="H6" i="2"/>
  <c r="H9" i="2"/>
  <c r="E28" i="2" l="1"/>
  <c r="H28" i="2" s="1"/>
  <c r="E30" i="2"/>
  <c r="H30" i="2" s="1"/>
  <c r="E18" i="2"/>
  <c r="H10" i="2" s="1"/>
  <c r="K10" i="2" s="1"/>
  <c r="E25" i="2"/>
  <c r="H25" i="2" s="1"/>
  <c r="E23" i="2"/>
  <c r="H23" i="2" s="1"/>
  <c r="E26" i="2"/>
  <c r="H26" i="2" s="1"/>
  <c r="E24" i="2"/>
  <c r="H24" i="2" s="1"/>
  <c r="L17" i="2"/>
  <c r="E21" i="2"/>
  <c r="H21" i="2" s="1"/>
  <c r="E27" i="2"/>
  <c r="H27" i="2" s="1"/>
  <c r="E20" i="2"/>
  <c r="H20" i="2" s="1"/>
  <c r="E29" i="2"/>
  <c r="H29" i="2" s="1"/>
  <c r="L20" i="2"/>
  <c r="E22" i="2"/>
  <c r="H22" i="2" s="1"/>
  <c r="E19" i="2"/>
  <c r="H11" i="2" s="1"/>
  <c r="I11" i="2" s="1"/>
  <c r="I3" i="2"/>
  <c r="L3" i="2" s="1"/>
  <c r="I9" i="2"/>
  <c r="K9" i="2"/>
  <c r="I8" i="2"/>
  <c r="I7" i="2"/>
  <c r="K7" i="2"/>
  <c r="I6" i="2"/>
  <c r="K6" i="2"/>
  <c r="K5" i="2"/>
  <c r="I5" i="2"/>
  <c r="I4" i="2"/>
  <c r="K4" i="2"/>
  <c r="H19" i="2" l="1"/>
  <c r="H18" i="2"/>
  <c r="I10" i="2"/>
  <c r="L10" i="2" s="1"/>
  <c r="J3" i="2"/>
  <c r="M3" i="2" s="1"/>
  <c r="H12" i="2"/>
  <c r="K11" i="2"/>
  <c r="K12" i="2" s="1"/>
  <c r="K14" i="2" s="1"/>
  <c r="J11" i="2"/>
  <c r="M11" i="2" s="1"/>
  <c r="L11" i="2"/>
  <c r="L4" i="2"/>
  <c r="J4" i="2"/>
  <c r="M4" i="2" s="1"/>
  <c r="L6" i="2"/>
  <c r="J6" i="2"/>
  <c r="M6" i="2" s="1"/>
  <c r="J8" i="2"/>
  <c r="M8" i="2" s="1"/>
  <c r="L8" i="2"/>
  <c r="L5" i="2"/>
  <c r="J5" i="2"/>
  <c r="M5" i="2" s="1"/>
  <c r="L7" i="2"/>
  <c r="J7" i="2"/>
  <c r="M7" i="2" s="1"/>
  <c r="J9" i="2"/>
  <c r="M9" i="2" s="1"/>
  <c r="L9" i="2"/>
  <c r="K16" i="2" l="1"/>
  <c r="I12" i="2"/>
  <c r="J10" i="2"/>
  <c r="M10" i="2" s="1"/>
  <c r="M12" i="2" s="1"/>
  <c r="M14" i="2" s="1"/>
  <c r="M16" i="2" s="1"/>
  <c r="L12" i="2"/>
  <c r="L14" i="2" s="1"/>
  <c r="F29" i="2" s="1"/>
  <c r="G29" i="2" s="1"/>
  <c r="F25" i="2" l="1"/>
  <c r="G25" i="2" s="1"/>
  <c r="J12" i="2"/>
  <c r="F22" i="2"/>
  <c r="G22" i="2" s="1"/>
  <c r="F30" i="2"/>
  <c r="G30" i="2" s="1"/>
  <c r="F21" i="2"/>
  <c r="G21" i="2" s="1"/>
  <c r="F26" i="2"/>
  <c r="G26" i="2" s="1"/>
  <c r="F27" i="2"/>
  <c r="G27" i="2" s="1"/>
  <c r="F18" i="2"/>
  <c r="G18" i="2" s="1"/>
  <c r="F19" i="2"/>
  <c r="G19" i="2" s="1"/>
  <c r="F24" i="2"/>
  <c r="G24" i="2" s="1"/>
  <c r="F23" i="2"/>
  <c r="G23" i="2" s="1"/>
  <c r="F28" i="2"/>
  <c r="G28" i="2" s="1"/>
  <c r="L16" i="2"/>
  <c r="B14" i="2"/>
  <c r="F20" i="2"/>
  <c r="G20" i="2" s="1"/>
  <c r="B15" i="2" l="1"/>
  <c r="C31" i="2" s="1"/>
  <c r="E31" i="2" s="1"/>
  <c r="B31" i="2"/>
  <c r="D31" i="2" s="1"/>
  <c r="H31" i="2" l="1"/>
  <c r="F31" i="2"/>
  <c r="G31" i="2" s="1"/>
</calcChain>
</file>

<file path=xl/sharedStrings.xml><?xml version="1.0" encoding="utf-8"?>
<sst xmlns="http://schemas.openxmlformats.org/spreadsheetml/2006/main" count="21" uniqueCount="15">
  <si>
    <t>Date</t>
  </si>
  <si>
    <t>Stock1</t>
  </si>
  <si>
    <t>Stock2</t>
  </si>
  <si>
    <t>Rf</t>
  </si>
  <si>
    <t>Sum</t>
  </si>
  <si>
    <t>Covariance</t>
  </si>
  <si>
    <t>W1</t>
  </si>
  <si>
    <t>W2</t>
  </si>
  <si>
    <t>W1=1-W1</t>
  </si>
  <si>
    <t>Expected Returne of W1</t>
  </si>
  <si>
    <t>Expected Return of W2</t>
  </si>
  <si>
    <t>Portfolio Variance</t>
  </si>
  <si>
    <t>Portfolio Standard Deviation</t>
  </si>
  <si>
    <t xml:space="preserve">Calculated </t>
  </si>
  <si>
    <t>Total Expected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</si>
</sst>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(&quot;$&quot;* #,##0.00_);_(&quot;$&quot;* \(#,##0.00\);_(&quot;$&quot;* &quot;-&quot;??_);_(@_)"/>
    <numFmt numFmtId="164" formatCode="0.000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10" fontId="0" fillId="0" borderId="0" xfId="0" applyNumberFormat="1"/>
    <xf numFmtId="44" fontId="0" fillId="0" borderId="0" xfId="1" applyFont="1"/>
    <xf numFmtId="164" fontId="0" fillId="0" borderId="0" xfId="0" applyNumberFormat="1"/>
    <xf numFmtId="10" fontId="0" fillId="0" borderId="0" xfId="2" applyNumberFormat="1" applyFont="1"/>
  </cellXfs>
  <cellStyles count="3">
    <cellStyle name="Currency" xfId="1" builtinId="4"/>
    <cellStyle name="Normal" xfId="0" builtinId="0"/>
    <cellStyle name="Percent" xfId="2" builtinId="5"/>
  </cellStyles>
  <dxfs count="5"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Calculation!$G$17</c:f>
              <c:strCache>
                <c:ptCount val="1"/>
                <c:pt idx="0">
                  <c:v>Portfolio Standard 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Calculation!$F$18:$F$31</c:f>
              <c:numCache>
                <c:formatCode>0.000</c:formatCode>
                <c:ptCount val="14"/>
                <c:pt idx="0">
                  <c:v>621.54951528298773</c:v>
                </c:pt>
                <c:pt idx="1">
                  <c:v>510.7715508097566</c:v>
                </c:pt>
                <c:pt idx="2">
                  <c:v>418.16430555171877</c:v>
                </c:pt>
                <c:pt idx="3">
                  <c:v>343.72777950887411</c:v>
                </c:pt>
                <c:pt idx="4">
                  <c:v>287.46197268122256</c:v>
                </c:pt>
                <c:pt idx="5">
                  <c:v>249.36688506876416</c:v>
                </c:pt>
                <c:pt idx="6">
                  <c:v>229.44251667149894</c:v>
                </c:pt>
                <c:pt idx="7">
                  <c:v>227.6888674894268</c:v>
                </c:pt>
                <c:pt idx="8">
                  <c:v>244.1059375225478</c:v>
                </c:pt>
                <c:pt idx="9">
                  <c:v>278.69372677086199</c:v>
                </c:pt>
                <c:pt idx="10">
                  <c:v>331.45223523436925</c:v>
                </c:pt>
                <c:pt idx="11">
                  <c:v>402.3814629130697</c:v>
                </c:pt>
                <c:pt idx="12">
                  <c:v>491.48140980696326</c:v>
                </c:pt>
                <c:pt idx="13">
                  <c:v>430.75354444373346</c:v>
                </c:pt>
              </c:numCache>
            </c:numRef>
          </c:xVal>
          <c:yVal>
            <c:numRef>
              <c:f>Calculation!$G$18:$G$31</c:f>
              <c:numCache>
                <c:formatCode>0.000</c:formatCode>
                <c:ptCount val="14"/>
                <c:pt idx="0">
                  <c:v>24.930894795072795</c:v>
                </c:pt>
                <c:pt idx="1">
                  <c:v>22.600255547443631</c:v>
                </c:pt>
                <c:pt idx="2">
                  <c:v>20.449066129085669</c:v>
                </c:pt>
                <c:pt idx="3">
                  <c:v>18.539896965972442</c:v>
                </c:pt>
                <c:pt idx="4">
                  <c:v>16.954703556276723</c:v>
                </c:pt>
                <c:pt idx="5">
                  <c:v>15.79135475723233</c:v>
                </c:pt>
                <c:pt idx="6">
                  <c:v>15.147360056178071</c:v>
                </c:pt>
                <c:pt idx="7">
                  <c:v>15.089362726418463</c:v>
                </c:pt>
                <c:pt idx="8">
                  <c:v>15.62388996129158</c:v>
                </c:pt>
                <c:pt idx="9">
                  <c:v>16.69412252173986</c:v>
                </c:pt>
                <c:pt idx="10">
                  <c:v>18.205829704640468</c:v>
                </c:pt>
                <c:pt idx="11">
                  <c:v>20.059448220553566</c:v>
                </c:pt>
                <c:pt idx="12">
                  <c:v>22.169380005019608</c:v>
                </c:pt>
                <c:pt idx="13">
                  <c:v>20.754602970033744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914424"/>
        <c:axId val="344907736"/>
      </c:scatterChart>
      <c:valAx>
        <c:axId val="344914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07736"/>
        <c:crosses val="autoZero"/>
        <c:crossBetween val="midCat"/>
      </c:valAx>
      <c:valAx>
        <c:axId val="344907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14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Calculation!$G$17</c:f>
              <c:strCache>
                <c:ptCount val="1"/>
                <c:pt idx="0">
                  <c:v>Portfolio Standard Deviation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7"/>
              <c:layout>
                <c:manualLayout>
                  <c:x val="-0.11944444444444449"/>
                  <c:y val="0.1122807017543859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xVal>
            <c:numRef>
              <c:f>Calculation!$F$18:$F$31</c:f>
              <c:numCache>
                <c:formatCode>0.000</c:formatCode>
                <c:ptCount val="14"/>
                <c:pt idx="0">
                  <c:v>621.54951528298773</c:v>
                </c:pt>
                <c:pt idx="1">
                  <c:v>510.7715508097566</c:v>
                </c:pt>
                <c:pt idx="2">
                  <c:v>418.16430555171877</c:v>
                </c:pt>
                <c:pt idx="3">
                  <c:v>343.72777950887411</c:v>
                </c:pt>
                <c:pt idx="4">
                  <c:v>287.46197268122256</c:v>
                </c:pt>
                <c:pt idx="5">
                  <c:v>249.36688506876416</c:v>
                </c:pt>
                <c:pt idx="6">
                  <c:v>229.44251667149894</c:v>
                </c:pt>
                <c:pt idx="7">
                  <c:v>227.6888674894268</c:v>
                </c:pt>
                <c:pt idx="8">
                  <c:v>244.1059375225478</c:v>
                </c:pt>
                <c:pt idx="9">
                  <c:v>278.69372677086199</c:v>
                </c:pt>
                <c:pt idx="10">
                  <c:v>331.45223523436925</c:v>
                </c:pt>
                <c:pt idx="11">
                  <c:v>402.3814629130697</c:v>
                </c:pt>
                <c:pt idx="12">
                  <c:v>491.48140980696326</c:v>
                </c:pt>
                <c:pt idx="13">
                  <c:v>430.75354444373346</c:v>
                </c:pt>
              </c:numCache>
            </c:numRef>
          </c:xVal>
          <c:yVal>
            <c:numRef>
              <c:f>Calculation!$G$18:$G$31</c:f>
              <c:numCache>
                <c:formatCode>0.000</c:formatCode>
                <c:ptCount val="14"/>
                <c:pt idx="0">
                  <c:v>24.930894795072795</c:v>
                </c:pt>
                <c:pt idx="1">
                  <c:v>22.600255547443631</c:v>
                </c:pt>
                <c:pt idx="2">
                  <c:v>20.449066129085669</c:v>
                </c:pt>
                <c:pt idx="3">
                  <c:v>18.539896965972442</c:v>
                </c:pt>
                <c:pt idx="4">
                  <c:v>16.954703556276723</c:v>
                </c:pt>
                <c:pt idx="5">
                  <c:v>15.79135475723233</c:v>
                </c:pt>
                <c:pt idx="6">
                  <c:v>15.147360056178071</c:v>
                </c:pt>
                <c:pt idx="7">
                  <c:v>15.089362726418463</c:v>
                </c:pt>
                <c:pt idx="8">
                  <c:v>15.62388996129158</c:v>
                </c:pt>
                <c:pt idx="9">
                  <c:v>16.69412252173986</c:v>
                </c:pt>
                <c:pt idx="10">
                  <c:v>18.205829704640468</c:v>
                </c:pt>
                <c:pt idx="11">
                  <c:v>20.059448220553566</c:v>
                </c:pt>
                <c:pt idx="12">
                  <c:v>22.169380005019608</c:v>
                </c:pt>
                <c:pt idx="13">
                  <c:v>20.754602970033744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4908520"/>
        <c:axId val="344908912"/>
      </c:scatterChart>
      <c:valAx>
        <c:axId val="344908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08912"/>
        <c:crosses val="autoZero"/>
        <c:crossBetween val="midCat"/>
      </c:valAx>
      <c:valAx>
        <c:axId val="344908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908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101</xdr:row>
      <xdr:rowOff>23812</xdr:rowOff>
    </xdr:from>
    <xdr:to>
      <xdr:col>7</xdr:col>
      <xdr:colOff>304800</xdr:colOff>
      <xdr:row>115</xdr:row>
      <xdr:rowOff>100012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486756</xdr:colOff>
      <xdr:row>21</xdr:row>
      <xdr:rowOff>83820</xdr:rowOff>
    </xdr:from>
    <xdr:to>
      <xdr:col>14</xdr:col>
      <xdr:colOff>348211</xdr:colOff>
      <xdr:row>38</xdr:row>
      <xdr:rowOff>97674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1"/>
  <sheetViews>
    <sheetView workbookViewId="0">
      <selection activeCell="B2" sqref="B2:D11"/>
    </sheetView>
  </sheetViews>
  <sheetFormatPr defaultRowHeight="14.4" x14ac:dyDescent="0.3"/>
  <cols>
    <col min="2" max="4" width="9.21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>
        <v>1</v>
      </c>
      <c r="B2" s="3">
        <f t="shared" ref="B2:D11" ca="1" si="0">RANDBETWEEN(-1000,1000)</f>
        <v>378</v>
      </c>
      <c r="C2" s="3">
        <f t="shared" ca="1" si="0"/>
        <v>-609</v>
      </c>
      <c r="D2" s="3">
        <f t="shared" ca="1" si="0"/>
        <v>-240</v>
      </c>
    </row>
    <row r="3" spans="1:4" x14ac:dyDescent="0.3">
      <c r="A3">
        <f>A2+1</f>
        <v>2</v>
      </c>
      <c r="B3" s="3">
        <f ca="1">RANDBETWEEN(-1000,1000)</f>
        <v>707</v>
      </c>
      <c r="C3" s="3">
        <f t="shared" ca="1" si="0"/>
        <v>593</v>
      </c>
      <c r="D3" s="3">
        <f t="shared" ca="1" si="0"/>
        <v>-24</v>
      </c>
    </row>
    <row r="4" spans="1:4" x14ac:dyDescent="0.3">
      <c r="A4">
        <f t="shared" ref="A4:A11" si="1">A3+1</f>
        <v>3</v>
      </c>
      <c r="B4" s="3">
        <f t="shared" ref="B4:B11" ca="1" si="2">RANDBETWEEN(-1000,1000)</f>
        <v>-469</v>
      </c>
      <c r="C4" s="3">
        <f t="shared" ca="1" si="0"/>
        <v>215</v>
      </c>
      <c r="D4" s="3">
        <f t="shared" ca="1" si="0"/>
        <v>529</v>
      </c>
    </row>
    <row r="5" spans="1:4" x14ac:dyDescent="0.3">
      <c r="A5">
        <f t="shared" si="1"/>
        <v>4</v>
      </c>
      <c r="B5" s="3">
        <f t="shared" ca="1" si="2"/>
        <v>830</v>
      </c>
      <c r="C5" s="3">
        <f t="shared" ca="1" si="0"/>
        <v>-815</v>
      </c>
      <c r="D5" s="3">
        <f t="shared" ca="1" si="0"/>
        <v>-950</v>
      </c>
    </row>
    <row r="6" spans="1:4" x14ac:dyDescent="0.3">
      <c r="A6">
        <f t="shared" si="1"/>
        <v>5</v>
      </c>
      <c r="B6" s="3">
        <f t="shared" ca="1" si="2"/>
        <v>-129</v>
      </c>
      <c r="C6" s="3">
        <f t="shared" ca="1" si="0"/>
        <v>732</v>
      </c>
      <c r="D6" s="3">
        <f t="shared" ca="1" si="0"/>
        <v>828</v>
      </c>
    </row>
    <row r="7" spans="1:4" x14ac:dyDescent="0.3">
      <c r="A7">
        <f t="shared" si="1"/>
        <v>6</v>
      </c>
      <c r="B7" s="3">
        <f t="shared" ca="1" si="2"/>
        <v>276</v>
      </c>
      <c r="C7" s="3">
        <f t="shared" ca="1" si="0"/>
        <v>301</v>
      </c>
      <c r="D7" s="3">
        <f t="shared" ca="1" si="0"/>
        <v>180</v>
      </c>
    </row>
    <row r="8" spans="1:4" x14ac:dyDescent="0.3">
      <c r="A8">
        <f t="shared" si="1"/>
        <v>7</v>
      </c>
      <c r="B8" s="3">
        <f t="shared" ca="1" si="2"/>
        <v>-244</v>
      </c>
      <c r="C8" s="3">
        <f t="shared" ca="1" si="0"/>
        <v>-641</v>
      </c>
      <c r="D8" s="3">
        <f t="shared" ca="1" si="0"/>
        <v>-939</v>
      </c>
    </row>
    <row r="9" spans="1:4" x14ac:dyDescent="0.3">
      <c r="A9">
        <f t="shared" si="1"/>
        <v>8</v>
      </c>
      <c r="B9" s="3">
        <f t="shared" ca="1" si="2"/>
        <v>435</v>
      </c>
      <c r="C9" s="3">
        <f t="shared" ca="1" si="0"/>
        <v>-397</v>
      </c>
      <c r="D9" s="3">
        <f t="shared" ca="1" si="0"/>
        <v>109</v>
      </c>
    </row>
    <row r="10" spans="1:4" x14ac:dyDescent="0.3">
      <c r="A10">
        <f t="shared" si="1"/>
        <v>9</v>
      </c>
      <c r="B10" s="3">
        <f t="shared" ca="1" si="2"/>
        <v>532</v>
      </c>
      <c r="C10" s="3">
        <f t="shared" ca="1" si="0"/>
        <v>-548</v>
      </c>
      <c r="D10" s="3">
        <f t="shared" ca="1" si="0"/>
        <v>-251</v>
      </c>
    </row>
    <row r="11" spans="1:4" x14ac:dyDescent="0.3">
      <c r="A11">
        <f t="shared" si="1"/>
        <v>10</v>
      </c>
      <c r="B11" s="3">
        <f t="shared" ca="1" si="2"/>
        <v>389</v>
      </c>
      <c r="C11" s="3">
        <f t="shared" ca="1" si="0"/>
        <v>916</v>
      </c>
      <c r="D11" s="3">
        <f t="shared" ca="1" si="0"/>
        <v>-16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31"/>
  <sheetViews>
    <sheetView tabSelected="1" zoomScale="55" zoomScaleNormal="55" workbookViewId="0">
      <selection activeCell="B6" sqref="B6"/>
    </sheetView>
  </sheetViews>
  <sheetFormatPr defaultRowHeight="14.4" x14ac:dyDescent="0.3"/>
  <cols>
    <col min="1" max="1" width="9.5546875" bestFit="1" customWidth="1"/>
    <col min="2" max="2" width="15.6640625" bestFit="1" customWidth="1"/>
    <col min="3" max="3" width="13.44140625" bestFit="1" customWidth="1"/>
    <col min="4" max="4" width="18.33203125" bestFit="1" customWidth="1"/>
    <col min="5" max="5" width="11.5546875" customWidth="1"/>
    <col min="6" max="7" width="12.33203125" customWidth="1"/>
    <col min="8" max="8" width="12.109375" customWidth="1"/>
    <col min="9" max="9" width="11.5546875" customWidth="1"/>
    <col min="10" max="10" width="12.88671875" customWidth="1"/>
    <col min="11" max="11" width="13.33203125" customWidth="1"/>
    <col min="12" max="13" width="13.109375" customWidth="1"/>
  </cols>
  <sheetData>
    <row r="1" spans="1:13" ht="72" x14ac:dyDescent="0.3">
      <c r="A1" s="1" t="s">
        <v>0</v>
      </c>
      <c r="B1" s="1" t="s">
        <v>1</v>
      </c>
      <c r="C1" s="1" t="s">
        <v>2</v>
      </c>
      <c r="D1" s="1" t="s">
        <v>3</v>
      </c>
      <c r="E1" s="1" t="str">
        <f>CONCATENATE(B1,"HPR")</f>
        <v>Stock1HPR</v>
      </c>
      <c r="F1" s="1" t="str">
        <f t="shared" ref="F1:G1" si="0">CONCATENATE(C1,"HPR")</f>
        <v>Stock2HPR</v>
      </c>
      <c r="G1" s="1" t="str">
        <f t="shared" si="0"/>
        <v>RfHPR</v>
      </c>
      <c r="H1" s="1" t="str">
        <f>CONCATENATE(B1,"Deviation From Mean")</f>
        <v>Stock1Deviation From Mean</v>
      </c>
      <c r="I1" s="1" t="str">
        <f t="shared" ref="I1:J1" si="1">CONCATENATE(C1,"Deviation From Mean")</f>
        <v>Stock2Deviation From Mean</v>
      </c>
      <c r="J1" s="1" t="str">
        <f t="shared" si="1"/>
        <v>RfDeviation From Mean</v>
      </c>
      <c r="K1" s="1" t="str">
        <f>CONCATENATE(H1,"Sqaured")</f>
        <v>Stock1Deviation From MeanSqaured</v>
      </c>
      <c r="L1" s="1" t="str">
        <f t="shared" ref="L1:M1" si="2">CONCATENATE(I1,"Sqaured")</f>
        <v>Stock2Deviation From MeanSqaured</v>
      </c>
      <c r="M1" s="1" t="str">
        <f t="shared" si="2"/>
        <v>RfDeviation From MeanSqaured</v>
      </c>
    </row>
    <row r="2" spans="1:13" x14ac:dyDescent="0.3">
      <c r="A2">
        <v>1</v>
      </c>
      <c r="B2" s="3">
        <f ca="1">Inputs!B2</f>
        <v>378</v>
      </c>
      <c r="C2" s="3">
        <f ca="1">Inputs!C2</f>
        <v>-609</v>
      </c>
      <c r="D2" s="3">
        <f ca="1">Inputs!D2</f>
        <v>-240</v>
      </c>
    </row>
    <row r="3" spans="1:13" x14ac:dyDescent="0.3">
      <c r="A3">
        <v>2</v>
      </c>
      <c r="B3" s="3">
        <f ca="1">Inputs!B3</f>
        <v>707</v>
      </c>
      <c r="C3" s="3">
        <f ca="1">Inputs!C3</f>
        <v>593</v>
      </c>
      <c r="D3" s="3">
        <f ca="1">Inputs!D3</f>
        <v>-24</v>
      </c>
      <c r="E3" s="2">
        <f ca="1">(B3-B2)/B2</f>
        <v>0.87037037037037035</v>
      </c>
      <c r="F3" s="2">
        <f t="shared" ref="F3:G3" ca="1" si="3">(C3-C2)/C2</f>
        <v>-1.9737274220032841</v>
      </c>
      <c r="G3" s="2">
        <f t="shared" ca="1" si="3"/>
        <v>-0.9</v>
      </c>
      <c r="H3" s="2">
        <f ca="1">G3-(AVERAGE(E3:E11))</f>
        <v>0.49670318824717918</v>
      </c>
      <c r="I3" s="2">
        <f t="shared" ref="I3:I9" ca="1" si="4">H3-(AVERAGE($F$3:$F$11))</f>
        <v>2.2400612678536636</v>
      </c>
      <c r="J3" s="2">
        <f ca="1">I3-(AVERAGE($G$3:$G$11))</f>
        <v>6.7915557564101814</v>
      </c>
      <c r="K3" s="2">
        <f ca="1">H3^2</f>
        <v>0.24671405721491271</v>
      </c>
      <c r="L3" s="2">
        <f t="shared" ref="L3:M3" ca="1" si="5">I3^2</f>
        <v>5.0178744837381624</v>
      </c>
      <c r="M3" s="2">
        <f t="shared" ca="1" si="5"/>
        <v>46.125229592428269</v>
      </c>
    </row>
    <row r="4" spans="1:13" x14ac:dyDescent="0.3">
      <c r="A4">
        <v>3</v>
      </c>
      <c r="B4" s="3">
        <f ca="1">Inputs!B4</f>
        <v>-469</v>
      </c>
      <c r="C4" s="3">
        <f ca="1">Inputs!C4</f>
        <v>215</v>
      </c>
      <c r="D4" s="3">
        <f ca="1">Inputs!D4</f>
        <v>529</v>
      </c>
      <c r="E4" s="2">
        <f t="shared" ref="E4:E11" ca="1" si="6">(B4-B3)/B3</f>
        <v>-1.6633663366336633</v>
      </c>
      <c r="F4" s="2">
        <f t="shared" ref="F4:F11" ca="1" si="7">(C4-C3)/C3</f>
        <v>-0.63743676222596968</v>
      </c>
      <c r="G4" s="2">
        <f t="shared" ref="G4:G11" ca="1" si="8">(D4-D3)/D3</f>
        <v>-23.041666666666668</v>
      </c>
      <c r="H4" s="2">
        <f t="shared" ref="H4:H11" ca="1" si="9">G4-(AVERAGE(E4:E12))</f>
        <v>-21.361579283592295</v>
      </c>
      <c r="I4" s="2">
        <f t="shared" ca="1" si="4"/>
        <v>-19.618221203985811</v>
      </c>
      <c r="J4" s="2">
        <f t="shared" ref="J4:J11" ca="1" si="10">I4-(AVERAGE($G$3:$G$11))</f>
        <v>-15.066726715429294</v>
      </c>
      <c r="K4" s="2">
        <f t="shared" ref="K4:K11" ca="1" si="11">H4^2</f>
        <v>456.31706948919953</v>
      </c>
      <c r="L4" s="2">
        <f t="shared" ref="L4:L11" ca="1" si="12">I4^2</f>
        <v>384.87460320851852</v>
      </c>
      <c r="M4" s="2">
        <f t="shared" ref="M4:M11" ca="1" si="13">J4^2</f>
        <v>227.0062539174308</v>
      </c>
    </row>
    <row r="5" spans="1:13" x14ac:dyDescent="0.3">
      <c r="A5">
        <v>4</v>
      </c>
      <c r="B5" s="3">
        <f ca="1">Inputs!B5</f>
        <v>830</v>
      </c>
      <c r="C5" s="3">
        <f ca="1">Inputs!C5</f>
        <v>-815</v>
      </c>
      <c r="D5" s="3">
        <f ca="1">Inputs!D5</f>
        <v>-950</v>
      </c>
      <c r="E5" s="2">
        <f t="shared" ca="1" si="6"/>
        <v>-2.7697228144989339</v>
      </c>
      <c r="F5" s="2">
        <f t="shared" ca="1" si="7"/>
        <v>-4.7906976744186043</v>
      </c>
      <c r="G5" s="2">
        <f t="shared" ca="1" si="8"/>
        <v>-2.7958412098298675</v>
      </c>
      <c r="H5" s="2">
        <f t="shared" ca="1" si="9"/>
        <v>-1.1133651058353931</v>
      </c>
      <c r="I5" s="2">
        <f t="shared" ca="1" si="4"/>
        <v>0.6299929737710912</v>
      </c>
      <c r="J5" s="2">
        <f t="shared" ca="1" si="10"/>
        <v>5.1814874623276088</v>
      </c>
      <c r="K5" s="2">
        <f t="shared" ca="1" si="11"/>
        <v>1.2395818588918559</v>
      </c>
      <c r="L5" s="2">
        <f t="shared" ca="1" si="12"/>
        <v>0.3968911470009428</v>
      </c>
      <c r="M5" s="2">
        <f t="shared" ca="1" si="13"/>
        <v>26.847812322258203</v>
      </c>
    </row>
    <row r="6" spans="1:13" x14ac:dyDescent="0.3">
      <c r="A6">
        <v>5</v>
      </c>
      <c r="B6" s="3">
        <f ca="1">Inputs!B6</f>
        <v>-129</v>
      </c>
      <c r="C6" s="3">
        <f ca="1">Inputs!C6</f>
        <v>732</v>
      </c>
      <c r="D6" s="3">
        <f ca="1">Inputs!D6</f>
        <v>828</v>
      </c>
      <c r="E6" s="2">
        <f t="shared" ca="1" si="6"/>
        <v>-1.155421686746988</v>
      </c>
      <c r="F6" s="2">
        <f t="shared" ca="1" si="7"/>
        <v>-1.8981595092024539</v>
      </c>
      <c r="G6" s="2">
        <f t="shared" ca="1" si="8"/>
        <v>-1.871578947368421</v>
      </c>
      <c r="H6" s="2">
        <f t="shared" ca="1" si="9"/>
        <v>-0.37031062845802287</v>
      </c>
      <c r="I6" s="2">
        <f t="shared" ca="1" si="4"/>
        <v>1.3730474511484614</v>
      </c>
      <c r="J6" s="2">
        <f t="shared" ca="1" si="10"/>
        <v>5.9245419397049792</v>
      </c>
      <c r="K6" s="2">
        <f t="shared" ca="1" si="11"/>
        <v>0.13712996154897586</v>
      </c>
      <c r="L6" s="2">
        <f t="shared" ca="1" si="12"/>
        <v>1.8852593031052864</v>
      </c>
      <c r="M6" s="2">
        <f t="shared" ca="1" si="13"/>
        <v>35.10019719532324</v>
      </c>
    </row>
    <row r="7" spans="1:13" x14ac:dyDescent="0.3">
      <c r="A7">
        <v>6</v>
      </c>
      <c r="B7" s="3">
        <f ca="1">Inputs!B7</f>
        <v>276</v>
      </c>
      <c r="C7" s="3">
        <f ca="1">Inputs!C7</f>
        <v>301</v>
      </c>
      <c r="D7" s="3">
        <f ca="1">Inputs!D7</f>
        <v>180</v>
      </c>
      <c r="E7" s="2">
        <f t="shared" ca="1" si="6"/>
        <v>-3.13953488372093</v>
      </c>
      <c r="F7" s="2">
        <f t="shared" ca="1" si="7"/>
        <v>-0.58879781420765032</v>
      </c>
      <c r="G7" s="2">
        <f t="shared" ca="1" si="8"/>
        <v>-0.78260869565217395</v>
      </c>
      <c r="H7" s="2">
        <f t="shared" ca="1" si="9"/>
        <v>0.787828949690906</v>
      </c>
      <c r="I7" s="2">
        <f t="shared" ca="1" si="4"/>
        <v>2.5311870292973904</v>
      </c>
      <c r="J7" s="2">
        <f t="shared" ca="1" si="10"/>
        <v>7.0826815178539082</v>
      </c>
      <c r="K7" s="2">
        <f t="shared" ca="1" si="11"/>
        <v>0.62067445397107612</v>
      </c>
      <c r="L7" s="2">
        <f t="shared" ca="1" si="12"/>
        <v>6.4069077772833483</v>
      </c>
      <c r="M7" s="2">
        <f t="shared" ca="1" si="13"/>
        <v>50.164377483349341</v>
      </c>
    </row>
    <row r="8" spans="1:13" x14ac:dyDescent="0.3">
      <c r="A8">
        <v>7</v>
      </c>
      <c r="B8" s="3">
        <f ca="1">Inputs!B8</f>
        <v>-244</v>
      </c>
      <c r="C8" s="3">
        <f ca="1">Inputs!C8</f>
        <v>-641</v>
      </c>
      <c r="D8" s="3">
        <f ca="1">Inputs!D8</f>
        <v>-939</v>
      </c>
      <c r="E8" s="2">
        <f t="shared" ca="1" si="6"/>
        <v>-1.8840579710144927</v>
      </c>
      <c r="F8" s="2">
        <f t="shared" ca="1" si="7"/>
        <v>-3.1295681063122922</v>
      </c>
      <c r="G8" s="2">
        <f t="shared" ca="1" si="8"/>
        <v>-6.2166666666666668</v>
      </c>
      <c r="H8" s="2">
        <f t="shared" ca="1" si="9"/>
        <v>-5.0385033309180489</v>
      </c>
      <c r="I8" s="2">
        <f t="shared" ca="1" si="4"/>
        <v>-3.2951452513115647</v>
      </c>
      <c r="J8" s="2">
        <f t="shared" ca="1" si="10"/>
        <v>1.2563492372449532</v>
      </c>
      <c r="K8" s="2">
        <f ca="1">H8^2</f>
        <v>25.386515815672276</v>
      </c>
      <c r="L8" s="2">
        <f t="shared" ca="1" si="12"/>
        <v>10.857982227241155</v>
      </c>
      <c r="M8" s="2">
        <f t="shared" ca="1" si="13"/>
        <v>1.5784134059259756</v>
      </c>
    </row>
    <row r="9" spans="1:13" x14ac:dyDescent="0.3">
      <c r="A9">
        <v>8</v>
      </c>
      <c r="B9" s="3">
        <f ca="1">Inputs!B9</f>
        <v>435</v>
      </c>
      <c r="C9" s="3">
        <f ca="1">Inputs!C9</f>
        <v>-397</v>
      </c>
      <c r="D9" s="3">
        <f ca="1">Inputs!D9</f>
        <v>109</v>
      </c>
      <c r="E9" s="2">
        <f t="shared" ca="1" si="6"/>
        <v>-2.7827868852459017</v>
      </c>
      <c r="F9" s="2">
        <f t="shared" ca="1" si="7"/>
        <v>-0.38065522620904835</v>
      </c>
      <c r="G9" s="2">
        <f t="shared" ca="1" si="8"/>
        <v>-1.1160809371671991</v>
      </c>
      <c r="H9" s="2">
        <f t="shared" ca="1" si="9"/>
        <v>-0.17321581317387302</v>
      </c>
      <c r="I9" s="2">
        <f t="shared" ca="1" si="4"/>
        <v>1.5701422664326112</v>
      </c>
      <c r="J9" s="2">
        <f t="shared" ca="1" si="10"/>
        <v>6.1216367549891295</v>
      </c>
      <c r="K9" s="2">
        <f t="shared" ca="1" si="11"/>
        <v>3.0003717933486083E-2</v>
      </c>
      <c r="L9" s="2">
        <f t="shared" ca="1" si="12"/>
        <v>2.465346736838137</v>
      </c>
      <c r="M9" s="2">
        <f t="shared" ca="1" si="13"/>
        <v>37.474436560033837</v>
      </c>
    </row>
    <row r="10" spans="1:13" x14ac:dyDescent="0.3">
      <c r="A10">
        <v>9</v>
      </c>
      <c r="B10" s="3">
        <f ca="1">Inputs!B10</f>
        <v>532</v>
      </c>
      <c r="C10" s="3">
        <f ca="1">Inputs!C10</f>
        <v>-548</v>
      </c>
      <c r="D10" s="3">
        <f ca="1">Inputs!D10</f>
        <v>-251</v>
      </c>
      <c r="E10" s="2">
        <f t="shared" ca="1" si="6"/>
        <v>0.22298850574712645</v>
      </c>
      <c r="F10" s="2">
        <f t="shared" ca="1" si="7"/>
        <v>0.38035264483627201</v>
      </c>
      <c r="G10" s="2">
        <f t="shared" ca="1" si="8"/>
        <v>-3.3027522935779818</v>
      </c>
      <c r="H10" s="2">
        <f t="shared" ca="1" si="9"/>
        <v>-2.5901395661573625</v>
      </c>
      <c r="I10" s="2">
        <f ca="1">H10-(AVERAGE($F$3:$F$11))</f>
        <v>-0.84678148655087826</v>
      </c>
      <c r="J10" s="2">
        <f t="shared" ca="1" si="10"/>
        <v>3.7047130020056396</v>
      </c>
      <c r="K10" s="2">
        <f t="shared" ca="1" si="11"/>
        <v>6.7088229721738504</v>
      </c>
      <c r="L10" s="2">
        <f t="shared" ca="1" si="12"/>
        <v>0.71703888596531518</v>
      </c>
      <c r="M10" s="2">
        <f t="shared" ca="1" si="13"/>
        <v>13.724898427229638</v>
      </c>
    </row>
    <row r="11" spans="1:13" x14ac:dyDescent="0.3">
      <c r="A11">
        <v>10</v>
      </c>
      <c r="B11" s="3">
        <f ca="1">Inputs!B11</f>
        <v>389</v>
      </c>
      <c r="C11" s="3">
        <f ca="1">Inputs!C11</f>
        <v>916</v>
      </c>
      <c r="D11" s="3">
        <f ca="1">Inputs!D11</f>
        <v>-16</v>
      </c>
      <c r="E11" s="2">
        <f t="shared" ca="1" si="6"/>
        <v>-0.26879699248120303</v>
      </c>
      <c r="F11" s="2">
        <f t="shared" ca="1" si="7"/>
        <v>-2.6715328467153285</v>
      </c>
      <c r="G11" s="2">
        <f t="shared" ca="1" si="8"/>
        <v>-0.93625498007968122</v>
      </c>
      <c r="H11" s="2">
        <f t="shared" ca="1" si="9"/>
        <v>0.48991854511235766</v>
      </c>
      <c r="I11" s="2">
        <f t="shared" ref="I11" ca="1" si="14">H11-(AVERAGE($F$3:$F$11))</f>
        <v>2.233276624718842</v>
      </c>
      <c r="J11" s="2">
        <f t="shared" ca="1" si="10"/>
        <v>6.7847711132753599</v>
      </c>
      <c r="K11" s="2">
        <f t="shared" ca="1" si="11"/>
        <v>0.24002018084500923</v>
      </c>
      <c r="L11" s="2">
        <f t="shared" ca="1" si="12"/>
        <v>4.9875244825155836</v>
      </c>
      <c r="M11" s="2">
        <f t="shared" ca="1" si="13"/>
        <v>46.033119059535764</v>
      </c>
    </row>
    <row r="12" spans="1:13" x14ac:dyDescent="0.3">
      <c r="G12" t="s">
        <v>4</v>
      </c>
      <c r="H12">
        <f ca="1">SUM(H3:H11)</f>
        <v>-28.872663045084551</v>
      </c>
      <c r="I12">
        <f t="shared" ref="I12:J12" ca="1" si="15">SUM(I3:I11)</f>
        <v>-13.182440328626194</v>
      </c>
      <c r="J12">
        <f t="shared" ca="1" si="15"/>
        <v>27.781010068382464</v>
      </c>
      <c r="K12">
        <f ca="1">SUM(K3:K11)</f>
        <v>490.92653250745093</v>
      </c>
      <c r="L12">
        <f t="shared" ref="L12" ca="1" si="16">SUM(L3:L11)</f>
        <v>417.60942825220644</v>
      </c>
      <c r="M12">
        <f t="shared" ref="M12" ca="1" si="17">SUM(M3:M11)</f>
        <v>484.05473796351504</v>
      </c>
    </row>
    <row r="13" spans="1:13" ht="28.8" x14ac:dyDescent="0.3">
      <c r="K13" s="1" t="str">
        <f>CONCATENATE(B1,"Variation")</f>
        <v>Stock1Variation</v>
      </c>
      <c r="L13" s="1" t="str">
        <f t="shared" ref="L13:M13" si="18">CONCATENATE(C1,"Variation")</f>
        <v>Stock2Variation</v>
      </c>
      <c r="M13" s="1" t="str">
        <f t="shared" si="18"/>
        <v>RfVariation</v>
      </c>
    </row>
    <row r="14" spans="1:13" x14ac:dyDescent="0.3">
      <c r="A14" t="s">
        <v>6</v>
      </c>
      <c r="B14">
        <f ca="1">(K14-L20)/(L14+K14)-(2*L20)</f>
        <v>-1.4833630302633072E-2</v>
      </c>
      <c r="K14">
        <f ca="1">K12</f>
        <v>490.92653250745093</v>
      </c>
      <c r="L14">
        <f t="shared" ref="L14:M14" ca="1" si="19">L12</f>
        <v>417.60942825220644</v>
      </c>
      <c r="M14">
        <f t="shared" ca="1" si="19"/>
        <v>484.05473796351504</v>
      </c>
    </row>
    <row r="15" spans="1:13" ht="43.2" x14ac:dyDescent="0.3">
      <c r="A15" t="s">
        <v>7</v>
      </c>
      <c r="B15">
        <f ca="1">1-B14</f>
        <v>1.0148336303026331</v>
      </c>
      <c r="K15" s="1" t="str">
        <f>CONCATENATE(B1,"Standard Deviation")</f>
        <v>Stock1Standard Deviation</v>
      </c>
      <c r="L15" s="1" t="str">
        <f t="shared" ref="L15:M15" si="20">CONCATENATE(C1,"Standard Deviation")</f>
        <v>Stock2Standard Deviation</v>
      </c>
      <c r="M15" s="1" t="str">
        <f t="shared" si="20"/>
        <v>RfStandard Deviation</v>
      </c>
    </row>
    <row r="16" spans="1:13" x14ac:dyDescent="0.3">
      <c r="K16">
        <f ca="1">SQRT(K14)</f>
        <v>22.156861973380863</v>
      </c>
      <c r="L16">
        <f t="shared" ref="L16:M16" ca="1" si="21">SQRT(L14)</f>
        <v>20.43549432365673</v>
      </c>
      <c r="M16">
        <f t="shared" ca="1" si="21"/>
        <v>22.001244009453533</v>
      </c>
    </row>
    <row r="17" spans="1:12" ht="43.2" x14ac:dyDescent="0.3">
      <c r="A17" t="s">
        <v>8</v>
      </c>
      <c r="B17" t="s">
        <v>6</v>
      </c>
      <c r="C17" t="s">
        <v>7</v>
      </c>
      <c r="D17" s="1" t="s">
        <v>9</v>
      </c>
      <c r="E17" s="1" t="s">
        <v>10</v>
      </c>
      <c r="F17" s="1" t="s">
        <v>11</v>
      </c>
      <c r="G17" s="1" t="s">
        <v>12</v>
      </c>
      <c r="H17" s="1" t="s">
        <v>14</v>
      </c>
      <c r="K17" t="str">
        <f>CONCATENATE("Correlation",E1,":",F1)</f>
        <v>CorrelationStock1HPR:Stock2HPR</v>
      </c>
      <c r="L17">
        <f ca="1">CORREL(E3:E11,F3:F11)</f>
        <v>0.13496139159200651</v>
      </c>
    </row>
    <row r="18" spans="1:12" x14ac:dyDescent="0.3">
      <c r="B18">
        <v>-0.2</v>
      </c>
      <c r="C18">
        <v>1.2</v>
      </c>
      <c r="D18" s="5">
        <f ca="1">(AVERAGE($E$3:$E$11))*B18</f>
        <v>0.27934063764943584</v>
      </c>
      <c r="E18" s="5">
        <f ca="1">(AVERAGE($F$3:$F$11))*C18</f>
        <v>-2.0920296955277808</v>
      </c>
      <c r="F18" s="4">
        <f ca="1">(B18)^2*$K$14+(C18^2)*$L$14+2*$L$20</f>
        <v>621.54951528298773</v>
      </c>
      <c r="G18" s="4">
        <f ca="1">SQRT(F18)</f>
        <v>24.930894795072795</v>
      </c>
      <c r="H18" s="2">
        <f ca="1">D18+E18</f>
        <v>-1.812689057878345</v>
      </c>
      <c r="K18" t="str">
        <f>CONCATENATE("Correlation",E1,":",G1)</f>
        <v>CorrelationStock1HPR:RfHPR</v>
      </c>
      <c r="L18">
        <f ca="1">CORREL(E3:E11,G3:G11)</f>
        <v>8.6209393059064499E-2</v>
      </c>
    </row>
    <row r="19" spans="1:12" x14ac:dyDescent="0.3">
      <c r="B19">
        <f>B18+0.1</f>
        <v>-0.1</v>
      </c>
      <c r="C19">
        <f>C18-0.1</f>
        <v>1.0999999999999999</v>
      </c>
      <c r="D19" s="5">
        <f t="shared" ref="D19:D31" ca="1" si="22">(AVERAGE($E$3:$E$11))*B19</f>
        <v>0.13967031882471792</v>
      </c>
      <c r="E19" s="5">
        <f t="shared" ref="E19:E31" ca="1" si="23">(AVERAGE($F$3:$F$11))*C19</f>
        <v>-1.9176938875671325</v>
      </c>
      <c r="F19" s="4">
        <f t="shared" ref="F19:F31" ca="1" si="24">(B19)^2*$K$14+(C19^2)*$L$14+2*$L$20</f>
        <v>510.7715508097566</v>
      </c>
      <c r="G19" s="4">
        <f t="shared" ref="G19:G31" ca="1" si="25">SQRT(F19)</f>
        <v>22.600255547443631</v>
      </c>
      <c r="H19" s="2">
        <f t="shared" ref="H19:H31" ca="1" si="26">D19+E19</f>
        <v>-1.7780235687424146</v>
      </c>
      <c r="K19" t="str">
        <f>CONCATENATE("Correlation",F1,":",G1)</f>
        <v>CorrelationStock2HPR:RfHPR</v>
      </c>
      <c r="L19">
        <f ca="1">CORREL(F3:F11,G3:G11)</f>
        <v>-0.17687574301088807</v>
      </c>
    </row>
    <row r="20" spans="1:12" x14ac:dyDescent="0.3">
      <c r="B20">
        <f t="shared" ref="B20:B30" si="27">B19+0.1</f>
        <v>0</v>
      </c>
      <c r="C20">
        <f t="shared" ref="C20:C30" si="28">C19-0.1</f>
        <v>0.99999999999999989</v>
      </c>
      <c r="D20" s="5">
        <f t="shared" ca="1" si="22"/>
        <v>0</v>
      </c>
      <c r="E20" s="5">
        <f t="shared" ca="1" si="23"/>
        <v>-1.743358079606484</v>
      </c>
      <c r="F20" s="4">
        <f t="shared" ca="1" si="24"/>
        <v>418.16430555171877</v>
      </c>
      <c r="G20" s="4">
        <f t="shared" ca="1" si="25"/>
        <v>20.449066129085669</v>
      </c>
      <c r="H20" s="2">
        <f t="shared" ca="1" si="26"/>
        <v>-1.743358079606484</v>
      </c>
      <c r="K20" t="s">
        <v>5</v>
      </c>
      <c r="L20">
        <f ca="1">_xlfn.COVARIANCE.P(E3:E11,F3:F11)</f>
        <v>0.27743864975621568</v>
      </c>
    </row>
    <row r="21" spans="1:12" x14ac:dyDescent="0.3">
      <c r="B21">
        <f t="shared" si="27"/>
        <v>0.1</v>
      </c>
      <c r="C21">
        <f t="shared" si="28"/>
        <v>0.89999999999999991</v>
      </c>
      <c r="D21" s="5">
        <f t="shared" ca="1" si="22"/>
        <v>-0.13967031882471792</v>
      </c>
      <c r="E21" s="5">
        <f t="shared" ca="1" si="23"/>
        <v>-1.5690222716458357</v>
      </c>
      <c r="F21" s="4">
        <f t="shared" ca="1" si="24"/>
        <v>343.72777950887411</v>
      </c>
      <c r="G21" s="4">
        <f t="shared" ca="1" si="25"/>
        <v>18.539896965972442</v>
      </c>
      <c r="H21" s="2">
        <f t="shared" ca="1" si="26"/>
        <v>-1.7086925904705537</v>
      </c>
    </row>
    <row r="22" spans="1:12" x14ac:dyDescent="0.3">
      <c r="B22">
        <f t="shared" si="27"/>
        <v>0.2</v>
      </c>
      <c r="C22">
        <f t="shared" si="28"/>
        <v>0.79999999999999993</v>
      </c>
      <c r="D22" s="5">
        <f t="shared" ca="1" si="22"/>
        <v>-0.27934063764943584</v>
      </c>
      <c r="E22" s="5">
        <f t="shared" ca="1" si="23"/>
        <v>-1.3946864636851872</v>
      </c>
      <c r="F22" s="4">
        <f t="shared" ca="1" si="24"/>
        <v>287.46197268122256</v>
      </c>
      <c r="G22" s="4">
        <f t="shared" ca="1" si="25"/>
        <v>16.954703556276723</v>
      </c>
      <c r="H22" s="2">
        <f t="shared" ca="1" si="26"/>
        <v>-1.6740271013346231</v>
      </c>
    </row>
    <row r="23" spans="1:12" x14ac:dyDescent="0.3">
      <c r="B23">
        <f t="shared" si="27"/>
        <v>0.30000000000000004</v>
      </c>
      <c r="C23">
        <f t="shared" si="28"/>
        <v>0.7</v>
      </c>
      <c r="D23" s="5">
        <f t="shared" ca="1" si="22"/>
        <v>-0.41901095647415382</v>
      </c>
      <c r="E23" s="5">
        <f t="shared" ca="1" si="23"/>
        <v>-1.2203506557245389</v>
      </c>
      <c r="F23" s="4">
        <f t="shared" ca="1" si="24"/>
        <v>249.36688506876416</v>
      </c>
      <c r="G23" s="4">
        <f t="shared" ca="1" si="25"/>
        <v>15.79135475723233</v>
      </c>
      <c r="H23" s="2">
        <f t="shared" ca="1" si="26"/>
        <v>-1.6393616121986927</v>
      </c>
    </row>
    <row r="24" spans="1:12" x14ac:dyDescent="0.3">
      <c r="B24">
        <f t="shared" si="27"/>
        <v>0.4</v>
      </c>
      <c r="C24">
        <f t="shared" si="28"/>
        <v>0.6</v>
      </c>
      <c r="D24" s="5">
        <f t="shared" ca="1" si="22"/>
        <v>-0.55868127529887168</v>
      </c>
      <c r="E24" s="5">
        <f t="shared" ca="1" si="23"/>
        <v>-1.0460148477638904</v>
      </c>
      <c r="F24" s="4">
        <f t="shared" ca="1" si="24"/>
        <v>229.44251667149894</v>
      </c>
      <c r="G24" s="4">
        <f t="shared" ca="1" si="25"/>
        <v>15.147360056178071</v>
      </c>
      <c r="H24" s="2">
        <f t="shared" ca="1" si="26"/>
        <v>-1.6046961230627621</v>
      </c>
    </row>
    <row r="25" spans="1:12" x14ac:dyDescent="0.3">
      <c r="B25">
        <f t="shared" si="27"/>
        <v>0.5</v>
      </c>
      <c r="C25">
        <f t="shared" si="28"/>
        <v>0.5</v>
      </c>
      <c r="D25" s="5">
        <f t="shared" ca="1" si="22"/>
        <v>-0.6983515941235896</v>
      </c>
      <c r="E25" s="5">
        <f t="shared" ca="1" si="23"/>
        <v>-0.87167903980324213</v>
      </c>
      <c r="F25" s="4">
        <f ca="1">(B25)^2*$K$14+(C25^2)*$L$14+2*$L$20</f>
        <v>227.6888674894268</v>
      </c>
      <c r="G25" s="4">
        <f t="shared" ca="1" si="25"/>
        <v>15.089362726418463</v>
      </c>
      <c r="H25" s="2">
        <f t="shared" ca="1" si="26"/>
        <v>-1.5700306339268317</v>
      </c>
    </row>
    <row r="26" spans="1:12" x14ac:dyDescent="0.3">
      <c r="B26">
        <f t="shared" si="27"/>
        <v>0.6</v>
      </c>
      <c r="C26">
        <f t="shared" si="28"/>
        <v>0.4</v>
      </c>
      <c r="D26" s="5">
        <f t="shared" ca="1" si="22"/>
        <v>-0.83802191294830752</v>
      </c>
      <c r="E26" s="5">
        <f t="shared" ca="1" si="23"/>
        <v>-0.69734323184259372</v>
      </c>
      <c r="F26" s="4">
        <f t="shared" ca="1" si="24"/>
        <v>244.1059375225478</v>
      </c>
      <c r="G26" s="4">
        <f t="shared" ca="1" si="25"/>
        <v>15.62388996129158</v>
      </c>
      <c r="H26" s="2">
        <f t="shared" ca="1" si="26"/>
        <v>-1.5353651447909011</v>
      </c>
    </row>
    <row r="27" spans="1:12" x14ac:dyDescent="0.3">
      <c r="B27">
        <f t="shared" si="27"/>
        <v>0.7</v>
      </c>
      <c r="C27">
        <f t="shared" si="28"/>
        <v>0.30000000000000004</v>
      </c>
      <c r="D27" s="5">
        <f t="shared" ca="1" si="22"/>
        <v>-0.97769223177302533</v>
      </c>
      <c r="E27" s="5">
        <f t="shared" ca="1" si="23"/>
        <v>-0.52300742388194532</v>
      </c>
      <c r="F27" s="4">
        <f t="shared" ca="1" si="24"/>
        <v>278.69372677086199</v>
      </c>
      <c r="G27" s="4">
        <f t="shared" ca="1" si="25"/>
        <v>16.69412252173986</v>
      </c>
      <c r="H27" s="2">
        <f t="shared" ca="1" si="26"/>
        <v>-1.5006996556549708</v>
      </c>
    </row>
    <row r="28" spans="1:12" x14ac:dyDescent="0.3">
      <c r="B28">
        <f t="shared" si="27"/>
        <v>0.79999999999999993</v>
      </c>
      <c r="C28">
        <f t="shared" si="28"/>
        <v>0.20000000000000004</v>
      </c>
      <c r="D28" s="5">
        <f t="shared" ca="1" si="22"/>
        <v>-1.1173625505977434</v>
      </c>
      <c r="E28" s="5">
        <f t="shared" ca="1" si="23"/>
        <v>-0.34867161592129692</v>
      </c>
      <c r="F28" s="4">
        <f t="shared" ca="1" si="24"/>
        <v>331.45223523436925</v>
      </c>
      <c r="G28" s="4">
        <f t="shared" ca="1" si="25"/>
        <v>18.205829704640468</v>
      </c>
      <c r="H28" s="2">
        <f t="shared" ca="1" si="26"/>
        <v>-1.4660341665190404</v>
      </c>
    </row>
    <row r="29" spans="1:12" x14ac:dyDescent="0.3">
      <c r="B29">
        <f t="shared" si="27"/>
        <v>0.89999999999999991</v>
      </c>
      <c r="C29">
        <f t="shared" si="28"/>
        <v>0.10000000000000003</v>
      </c>
      <c r="D29" s="5">
        <f t="shared" ca="1" si="22"/>
        <v>-1.2570328694224611</v>
      </c>
      <c r="E29" s="5">
        <f t="shared" ca="1" si="23"/>
        <v>-0.17433580796064849</v>
      </c>
      <c r="F29" s="4">
        <f t="shared" ca="1" si="24"/>
        <v>402.3814629130697</v>
      </c>
      <c r="G29" s="4">
        <f t="shared" ca="1" si="25"/>
        <v>20.059448220553566</v>
      </c>
      <c r="H29" s="2">
        <f t="shared" ca="1" si="26"/>
        <v>-1.4313686773831096</v>
      </c>
    </row>
    <row r="30" spans="1:12" x14ac:dyDescent="0.3">
      <c r="B30">
        <f t="shared" si="27"/>
        <v>0.99999999999999989</v>
      </c>
      <c r="C30">
        <f t="shared" si="28"/>
        <v>0</v>
      </c>
      <c r="D30" s="5">
        <f t="shared" ca="1" si="22"/>
        <v>-1.396703188247179</v>
      </c>
      <c r="E30" s="5">
        <f t="shared" ca="1" si="23"/>
        <v>0</v>
      </c>
      <c r="F30" s="4">
        <f t="shared" ca="1" si="24"/>
        <v>491.48140980696326</v>
      </c>
      <c r="G30" s="4">
        <f t="shared" ca="1" si="25"/>
        <v>22.169380005019608</v>
      </c>
      <c r="H30" s="2">
        <f t="shared" ca="1" si="26"/>
        <v>-1.396703188247179</v>
      </c>
    </row>
    <row r="31" spans="1:12" x14ac:dyDescent="0.3">
      <c r="A31" t="s">
        <v>13</v>
      </c>
      <c r="B31">
        <f ca="1">$B$14</f>
        <v>-1.4833630302633072E-2</v>
      </c>
      <c r="C31">
        <f ca="1">$B$15</f>
        <v>1.0148336303026331</v>
      </c>
      <c r="D31" s="5">
        <f t="shared" ca="1" si="22"/>
        <v>2.0718178736967581E-2</v>
      </c>
      <c r="E31" s="5">
        <f t="shared" ca="1" si="23"/>
        <v>-1.7692184088444751</v>
      </c>
      <c r="F31" s="4">
        <f t="shared" ca="1" si="24"/>
        <v>430.75354444373346</v>
      </c>
      <c r="G31" s="4">
        <f t="shared" ca="1" si="25"/>
        <v>20.754602970033744</v>
      </c>
      <c r="H31" s="2">
        <f t="shared" ca="1" si="26"/>
        <v>-1.7485002301075074</v>
      </c>
    </row>
  </sheetData>
  <conditionalFormatting sqref="F18:F31">
    <cfRule type="top10" dxfId="4" priority="6" percent="1" bottom="1" rank="10"/>
    <cfRule type="top10" dxfId="3" priority="4" percent="1" bottom="1" rank="10"/>
  </conditionalFormatting>
  <conditionalFormatting sqref="G18:G31">
    <cfRule type="top10" dxfId="2" priority="5" percent="1" bottom="1" rank="10"/>
    <cfRule type="top10" dxfId="1" priority="3" percent="1" bottom="1" rank="10"/>
  </conditionalFormatting>
  <conditionalFormatting sqref="H18:H31">
    <cfRule type="top10" dxfId="0" priority="2" percent="1" rank="10"/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{9CF8D499-E2BA-4F18-AD2E-B45DC8D83E93}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F8D499-E2BA-4F18-AD2E-B45DC8D83E93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H18:H31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Inputs</vt:lpstr>
      <vt:lpstr>Calculation</vt:lpstr>
      <vt:lpstr>RiskFreeReturn</vt:lpstr>
      <vt:lpstr>Stock1Return</vt:lpstr>
      <vt:lpstr>Stock2Return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Tom</cp:lastModifiedBy>
  <dcterms:created xsi:type="dcterms:W3CDTF">2015-04-22T16:03:02Z</dcterms:created>
  <dcterms:modified xsi:type="dcterms:W3CDTF">2015-09-11T11:42:02Z</dcterms:modified>
</cp:coreProperties>
</file>